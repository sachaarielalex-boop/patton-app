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/>
  <xr:revisionPtr revIDLastSave="11" documentId="8_{808915F0-6FC4-45B5-8BD9-2E66215D043D}" xr6:coauthVersionLast="47" xr6:coauthVersionMax="47" xr10:uidLastSave="{D077262A-8985-4357-8964-4D2B31E05A71}"/>
  <bookViews>
    <workbookView xWindow="-110" yWindow="-110" windowWidth="25820" windowHeight="15500" xr2:uid="{00000000-000D-0000-FFFF-FFFF00000000}"/>
  </bookViews>
  <sheets>
    <sheet name="Monthly Sales Activity" sheetId="1" r:id="rId1"/>
    <sheet name="Weekly_Sales Activity" sheetId="2" r:id="rId2"/>
  </sheets>
  <definedNames>
    <definedName name="_xlnm.Print_Titles" localSheetId="0">'Monthly Sales Activity'!$6:$6</definedName>
    <definedName name="_xlnm.Print_Titles" localSheetId="1">'Weekly_Sales Activity'!$5:$5</definedName>
    <definedName name="RowTitleRegion1..J3" localSheetId="1">'Weekly_Sales Activity'!$I$1:$I$2</definedName>
    <definedName name="RowTitleRegion1..J3">'Monthly Sales Activity'!$I$1:$I$2</definedName>
    <definedName name="RowTitleRegion2..M3" localSheetId="1">'Weekly_Sales Activity'!$L$1:$L$2</definedName>
    <definedName name="RowTitleRegion2..M3">'Monthly Sales Activity'!$N$1:$N$2</definedName>
    <definedName name="Title1" localSheetId="1">Activity3[[#Headers],[DAYS]]</definedName>
    <definedName name="Title1">Activity[[#Headers],[DAYS]]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6" i="1" l="1"/>
  <c r="L8" i="1"/>
  <c r="K8" i="1"/>
  <c r="M15" i="2"/>
  <c r="L13" i="2"/>
  <c r="L16" i="2" s="1"/>
  <c r="K13" i="2"/>
  <c r="K16" i="2" s="1"/>
  <c r="J13" i="2"/>
  <c r="J16" i="2" s="1"/>
  <c r="I13" i="2"/>
  <c r="I16" i="2" s="1"/>
  <c r="H13" i="2"/>
  <c r="H16" i="2" s="1"/>
  <c r="G13" i="2"/>
  <c r="G16" i="2" s="1"/>
  <c r="F13" i="2"/>
  <c r="E13" i="2"/>
  <c r="F16" i="2" s="1"/>
  <c r="D13" i="2"/>
  <c r="D16" i="2" s="1"/>
  <c r="C13" i="2"/>
  <c r="C16" i="2" s="1"/>
  <c r="M12" i="2"/>
  <c r="M11" i="2"/>
  <c r="M10" i="2"/>
  <c r="M9" i="2"/>
  <c r="M8" i="2"/>
  <c r="M7" i="2"/>
  <c r="M6" i="2"/>
  <c r="M13" i="2" l="1"/>
  <c r="E16" i="2"/>
  <c r="M16" i="2" s="1"/>
  <c r="C11" i="1"/>
  <c r="D8" i="1"/>
  <c r="D11" i="1" s="1"/>
  <c r="E8" i="1"/>
  <c r="F11" i="1" s="1"/>
  <c r="F8" i="1"/>
  <c r="G8" i="1"/>
  <c r="G11" i="1" s="1"/>
  <c r="H8" i="1"/>
  <c r="H11" i="1" s="1"/>
  <c r="I8" i="1"/>
  <c r="I11" i="1" s="1"/>
  <c r="J8" i="1"/>
  <c r="M8" i="1"/>
  <c r="M11" i="1" s="1"/>
  <c r="N8" i="1"/>
  <c r="N11" i="1" s="1"/>
  <c r="J11" i="1" l="1"/>
  <c r="L11" i="1"/>
  <c r="K11" i="1"/>
  <c r="E11" i="1"/>
  <c r="O8" i="1"/>
  <c r="O11" i="1" l="1"/>
</calcChain>
</file>

<file path=xl/sharedStrings.xml><?xml version="1.0" encoding="utf-8"?>
<sst xmlns="http://schemas.openxmlformats.org/spreadsheetml/2006/main" count="65" uniqueCount="55">
  <si>
    <t>SALESPERSON</t>
  </si>
  <si>
    <t>WEEK ENDING</t>
  </si>
  <si>
    <t>LOCATION</t>
  </si>
  <si>
    <t>TODAY'S DATE</t>
  </si>
  <si>
    <t>DAYS</t>
  </si>
  <si>
    <t>TOTAL</t>
  </si>
  <si>
    <t>Monday</t>
  </si>
  <si>
    <t>Tuesday</t>
  </si>
  <si>
    <t>Wednesday</t>
  </si>
  <si>
    <t>Thursday</t>
  </si>
  <si>
    <t>Friday</t>
  </si>
  <si>
    <t>Saturday</t>
  </si>
  <si>
    <t>Sunday</t>
  </si>
  <si>
    <t>Totals</t>
  </si>
  <si>
    <t>GOAL</t>
  </si>
  <si>
    <t>VARIANCE</t>
  </si>
  <si>
    <t>Approval</t>
  </si>
  <si>
    <t>*EXPLANATION</t>
  </si>
  <si>
    <t>OTHER*</t>
  </si>
  <si>
    <r>
      <t>WEEKLY</t>
    </r>
    <r>
      <rPr>
        <sz val="24"/>
        <color theme="4"/>
        <rFont val="Arial"/>
        <family val="2"/>
        <scheme val="minor"/>
      </rPr>
      <t xml:space="preserve"> </t>
    </r>
    <r>
      <rPr>
        <sz val="24"/>
        <color theme="4" tint="-0.499984740745262"/>
        <rFont val="Arial"/>
        <family val="2"/>
        <scheme val="minor"/>
      </rPr>
      <t>SALES ACTIVITY</t>
    </r>
  </si>
  <si>
    <t>Date</t>
  </si>
  <si>
    <t>JANUARY</t>
  </si>
  <si>
    <t>FEBRUARY</t>
  </si>
  <si>
    <t>MARCH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</si>
  <si>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</si>
  <si>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</si>
  <si>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</si>
  <si>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</si>
  <si>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</si>
  <si>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</si>
  <si>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</si>
  <si>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</si>
  <si>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</si>
  <si>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SALES 
DEPARTMENT</t>
  </si>
  <si>
    <t>Q1</t>
  </si>
  <si>
    <t>Q2</t>
  </si>
  <si>
    <t>Q3</t>
  </si>
  <si>
    <t>Q4</t>
  </si>
  <si>
    <t>Q1 TOTAL</t>
  </si>
  <si>
    <t>Q2 TOTAL</t>
  </si>
  <si>
    <t>Q3 TOTAL</t>
  </si>
  <si>
    <t>FLORIDA</t>
  </si>
  <si>
    <t xml:space="preserve">LOCATION:
</t>
  </si>
  <si>
    <t>$29,016.66</t>
  </si>
  <si>
    <r>
      <t>MONTHLY</t>
    </r>
    <r>
      <rPr>
        <sz val="24"/>
        <color theme="4"/>
        <rFont val="Arial"/>
        <family val="2"/>
        <scheme val="minor"/>
      </rPr>
      <t xml:space="preserve"> </t>
    </r>
    <r>
      <rPr>
        <sz val="24"/>
        <color theme="4" tint="-0.499984740745262"/>
        <rFont val="Arial"/>
        <family val="2"/>
        <scheme val="minor"/>
      </rPr>
      <t>SALES ACTIVITY</t>
    </r>
    <r>
      <rPr>
        <sz val="24"/>
        <color theme="3"/>
        <rFont val="Arial Black"/>
        <family val="2"/>
        <scheme val="major"/>
      </rPr>
      <t xml:space="preserve"> 2026</t>
    </r>
  </si>
  <si>
    <t>LY 2025 &amp; TY Variances:</t>
  </si>
  <si>
    <t>New Leads</t>
  </si>
  <si>
    <t>Calls Made</t>
  </si>
  <si>
    <t>Emails Sent</t>
  </si>
  <si>
    <t>Property Tours Scheduled</t>
  </si>
  <si>
    <t>Property Tours Completed</t>
  </si>
  <si>
    <t>Networking Meetings</t>
  </si>
  <si>
    <t>Broker Outreach</t>
  </si>
  <si>
    <t>Other 1</t>
  </si>
  <si>
    <t>Other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</si>
</sst>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&quot;$&quot;#,##0.00"/>
  </numFmts>
  <fonts count="22" x14ac:knownFonts="1">
    <font>
      <sz val="11"/>
      <color theme="3"/>
      <name val="Arial"/>
      <family val="2"/>
      <scheme val="minor"/>
    </font>
    <font>
      <sz val="24"/>
      <color theme="3"/>
      <name val="Arial Black"/>
      <family val="2"/>
      <scheme val="major"/>
    </font>
    <font>
      <sz val="24"/>
      <color theme="4"/>
      <name val="Arial"/>
      <family val="2"/>
      <scheme val="minor"/>
    </font>
    <font>
      <sz val="8"/>
      <color theme="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3"/>
      <name val="Arial"/>
      <family val="2"/>
      <scheme val="minor"/>
    </font>
    <font>
      <i/>
      <sz val="11"/>
      <color theme="3"/>
      <name val="Arial"/>
      <family val="2"/>
      <scheme val="minor"/>
    </font>
    <font>
      <sz val="11"/>
      <color theme="5" tint="-0.24994659260841701"/>
      <name val="Arial"/>
      <family val="2"/>
      <scheme val="minor"/>
    </font>
    <font>
      <sz val="24"/>
      <color theme="4" tint="-0.499984740745262"/>
      <name val="Arial"/>
      <family val="2"/>
      <scheme val="minor"/>
    </font>
    <font>
      <b/>
      <sz val="11"/>
      <color theme="5" tint="-0.249977111117893"/>
      <name val="Arial"/>
      <family val="2"/>
      <scheme val="minor"/>
    </font>
    <font>
      <b/>
      <sz val="11"/>
      <color theme="5" tint="-0.499984740745262"/>
      <name val="Arial"/>
      <family val="2"/>
      <scheme val="minor"/>
    </font>
    <font>
      <sz val="8"/>
      <name val="Arial"/>
      <family val="2"/>
      <scheme val="minor"/>
    </font>
    <font>
      <b/>
      <sz val="11"/>
      <color theme="5" tint="-0.2499465926084170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color theme="3"/>
      <name val="Arial"/>
      <family val="2"/>
      <scheme val="minor"/>
    </font>
    <font>
      <b/>
      <sz val="24"/>
      <color theme="3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3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CCFF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indexed="64"/>
      </right>
      <top/>
      <bottom/>
      <diagonal/>
    </border>
  </borders>
  <cellStyleXfs count="23">
    <xf numFmtId="0" fontId="0" fillId="0" borderId="0" applyNumberFormat="0" applyFill="0" applyBorder="0" applyProtection="0">
      <alignment wrapText="1"/>
    </xf>
    <xf numFmtId="0" fontId="1" fillId="0" borderId="0" applyNumberFormat="0" applyFill="0" applyBorder="0" applyAlignment="0" applyProtection="0"/>
    <xf numFmtId="0" fontId="9" fillId="0" borderId="0" applyNumberFormat="0" applyFill="0" applyBorder="0" applyProtection="0">
      <alignment horizontal="right"/>
    </xf>
    <xf numFmtId="0" fontId="9" fillId="0" borderId="0" applyNumberFormat="0" applyFill="0" applyBorder="0" applyProtection="0">
      <alignment horizontal="left"/>
    </xf>
    <xf numFmtId="14" fontId="9" fillId="0" borderId="0" applyFill="0" applyBorder="0" applyAlignment="0" applyProtection="0"/>
    <xf numFmtId="0" fontId="11" fillId="0" borderId="0" applyNumberFormat="0" applyFill="0" applyBorder="0" applyProtection="0">
      <alignment horizontal="left" wrapText="1"/>
    </xf>
    <xf numFmtId="0" fontId="6" fillId="0" borderId="0" applyNumberFormat="0" applyFill="0" applyBorder="0" applyProtection="0">
      <alignment vertical="center"/>
    </xf>
    <xf numFmtId="168" fontId="9" fillId="0" borderId="0" applyFill="0" applyBorder="0" applyProtection="0">
      <alignment vertical="center"/>
    </xf>
    <xf numFmtId="0" fontId="9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9" fillId="0" borderId="10" applyNumberFormat="0" applyFill="0" applyProtection="0">
      <alignment vertical="top" wrapText="1"/>
    </xf>
    <xf numFmtId="167" fontId="9" fillId="0" borderId="0" applyFill="0" applyBorder="0" applyAlignment="0" applyProtection="0"/>
    <xf numFmtId="165" fontId="9" fillId="0" borderId="0" applyFill="0" applyBorder="0" applyAlignment="0" applyProtection="0"/>
    <xf numFmtId="166" fontId="9" fillId="0" borderId="0" applyFill="0" applyBorder="0" applyAlignment="0" applyProtection="0"/>
    <xf numFmtId="164" fontId="9" fillId="0" borderId="0" applyFill="0" applyBorder="0" applyAlignment="0" applyProtection="0"/>
    <xf numFmtId="9" fontId="9" fillId="0" borderId="0" applyFill="0" applyBorder="0" applyAlignment="0" applyProtection="0"/>
    <xf numFmtId="0" fontId="4" fillId="0" borderId="7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9" fillId="4" borderId="6" applyNumberFormat="0" applyAlignment="0" applyProtection="0"/>
    <xf numFmtId="0" fontId="10" fillId="0" borderId="0" applyNumberFormat="0" applyFill="0" applyBorder="0" applyAlignment="0" applyProtection="0"/>
    <xf numFmtId="0" fontId="7" fillId="0" borderId="9" applyNumberFormat="0" applyFill="0" applyAlignment="0" applyProtection="0"/>
  </cellStyleXfs>
  <cellXfs count="65">
    <xf numFmtId="0" fontId="0" fillId="0" borderId="0" xfId="0">
      <alignment wrapText="1"/>
    </xf>
    <xf numFmtId="0" fontId="11" fillId="0" borderId="0" xfId="5">
      <alignment horizontal="left" wrapText="1"/>
    </xf>
    <xf numFmtId="0" fontId="6" fillId="0" borderId="0" xfId="6">
      <alignment vertical="center"/>
    </xf>
    <xf numFmtId="168" fontId="0" fillId="0" borderId="0" xfId="7" applyFont="1">
      <alignment vertical="center"/>
    </xf>
    <xf numFmtId="168" fontId="0" fillId="2" borderId="0" xfId="8" applyNumberFormat="1" applyFont="1" applyAlignment="1">
      <alignment vertical="center"/>
    </xf>
    <xf numFmtId="168" fontId="0" fillId="3" borderId="2" xfId="7" applyFont="1" applyFill="1" applyBorder="1">
      <alignment vertical="center"/>
    </xf>
    <xf numFmtId="168" fontId="0" fillId="3" borderId="3" xfId="7" applyFont="1" applyFill="1" applyBorder="1">
      <alignment vertical="center"/>
    </xf>
    <xf numFmtId="168" fontId="0" fillId="3" borderId="5" xfId="7" applyFont="1" applyFill="1" applyBorder="1">
      <alignment vertical="center"/>
    </xf>
    <xf numFmtId="0" fontId="8" fillId="5" borderId="0" xfId="9" applyFont="1" applyFill="1" applyAlignment="1">
      <alignment vertical="center"/>
    </xf>
    <xf numFmtId="168" fontId="8" fillId="5" borderId="0" xfId="7" applyFont="1" applyFill="1">
      <alignment vertical="center"/>
    </xf>
    <xf numFmtId="168" fontId="14" fillId="3" borderId="1" xfId="7" applyFont="1" applyFill="1" applyBorder="1">
      <alignment vertical="center"/>
    </xf>
    <xf numFmtId="168" fontId="14" fillId="3" borderId="4" xfId="7" applyFont="1" applyFill="1" applyBorder="1">
      <alignment vertical="center"/>
    </xf>
    <xf numFmtId="0" fontId="13" fillId="0" borderId="0" xfId="5" applyFont="1">
      <alignment horizontal="left" wrapText="1"/>
    </xf>
    <xf numFmtId="0" fontId="0" fillId="0" borderId="0" xfId="0" applyAlignment="1">
      <alignment horizontal="center" wrapText="1"/>
    </xf>
    <xf numFmtId="0" fontId="8" fillId="5" borderId="0" xfId="0" applyFont="1" applyFill="1" applyAlignment="1">
      <alignment vertical="center"/>
    </xf>
    <xf numFmtId="0" fontId="16" fillId="0" borderId="0" xfId="5" applyFont="1">
      <alignment horizontal="left" wrapText="1"/>
    </xf>
    <xf numFmtId="0" fontId="0" fillId="0" borderId="0" xfId="0" applyBorder="1">
      <alignment wrapText="1"/>
    </xf>
    <xf numFmtId="0" fontId="9" fillId="0" borderId="0" xfId="11" applyBorder="1" applyAlignment="1">
      <alignment horizontal="left" vertical="top"/>
    </xf>
    <xf numFmtId="0" fontId="0" fillId="0" borderId="0" xfId="0" applyBorder="1" applyAlignment="1">
      <alignment horizontal="left"/>
    </xf>
    <xf numFmtId="168" fontId="14" fillId="6" borderId="1" xfId="7" applyFont="1" applyFill="1" applyBorder="1">
      <alignment vertical="center"/>
    </xf>
    <xf numFmtId="168" fontId="0" fillId="6" borderId="2" xfId="7" applyFont="1" applyFill="1" applyBorder="1">
      <alignment vertical="center"/>
    </xf>
    <xf numFmtId="168" fontId="0" fillId="6" borderId="3" xfId="7" applyFont="1" applyFill="1" applyBorder="1">
      <alignment vertical="center"/>
    </xf>
    <xf numFmtId="0" fontId="0" fillId="0" borderId="0" xfId="0" applyBorder="1" applyAlignment="1"/>
    <xf numFmtId="14" fontId="9" fillId="0" borderId="0" xfId="4" applyAlignment="1">
      <alignment horizontal="left" vertical="center"/>
    </xf>
    <xf numFmtId="0" fontId="1" fillId="0" borderId="0" xfId="1" applyAlignment="1">
      <alignment horizontal="left" vertical="center"/>
    </xf>
    <xf numFmtId="0" fontId="6" fillId="0" borderId="0" xfId="11" applyFont="1" applyFill="1" applyBorder="1" applyAlignment="1">
      <alignment horizontal="right" vertical="top"/>
    </xf>
    <xf numFmtId="8" fontId="6" fillId="0" borderId="18" xfId="11" applyNumberFormat="1" applyFont="1" applyFill="1" applyBorder="1" applyAlignment="1">
      <alignment horizontal="left" vertical="top"/>
    </xf>
    <xf numFmtId="0" fontId="9" fillId="0" borderId="0" xfId="11" applyFill="1" applyBorder="1" applyAlignment="1">
      <alignment horizontal="left" vertical="top"/>
    </xf>
    <xf numFmtId="0" fontId="0" fillId="0" borderId="0" xfId="0" applyFill="1" applyBorder="1">
      <alignment wrapText="1"/>
    </xf>
    <xf numFmtId="8" fontId="17" fillId="0" borderId="18" xfId="0" applyNumberFormat="1" applyFont="1" applyFill="1" applyBorder="1" applyAlignment="1">
      <alignment horizontal="center"/>
    </xf>
    <xf numFmtId="168" fontId="0" fillId="0" borderId="0" xfId="7" applyFont="1" applyAlignment="1">
      <alignment horizontal="center" vertical="center"/>
    </xf>
    <xf numFmtId="168" fontId="0" fillId="2" borderId="0" xfId="8" applyNumberFormat="1" applyFont="1" applyAlignment="1">
      <alignment horizontal="center" vertical="center"/>
    </xf>
    <xf numFmtId="168" fontId="8" fillId="5" borderId="0" xfId="0" applyNumberFormat="1" applyFont="1" applyFill="1" applyAlignment="1">
      <alignment horizontal="center" vertical="center"/>
    </xf>
    <xf numFmtId="0" fontId="6" fillId="0" borderId="0" xfId="11" applyFont="1" applyFill="1" applyBorder="1" applyAlignment="1">
      <alignment horizontal="right" vertical="top"/>
    </xf>
    <xf numFmtId="0" fontId="20" fillId="0" borderId="0" xfId="0" applyFont="1" applyFill="1" applyBorder="1" applyAlignment="1">
      <alignment horizontal="right"/>
    </xf>
    <xf numFmtId="14" fontId="0" fillId="0" borderId="0" xfId="4" applyFont="1" applyAlignment="1">
      <alignment horizontal="left"/>
    </xf>
    <xf numFmtId="14" fontId="9" fillId="0" borderId="0" xfId="4" applyAlignment="1">
      <alignment horizontal="left"/>
    </xf>
    <xf numFmtId="14" fontId="0" fillId="0" borderId="0" xfId="4" applyFont="1" applyAlignment="1">
      <alignment horizontal="left" vertical="center"/>
    </xf>
    <xf numFmtId="14" fontId="9" fillId="0" borderId="0" xfId="4" applyAlignment="1">
      <alignment horizontal="left" vertical="center"/>
    </xf>
    <xf numFmtId="0" fontId="18" fillId="0" borderId="0" xfId="2" applyFont="1">
      <alignment horizontal="right"/>
    </xf>
    <xf numFmtId="0" fontId="6" fillId="0" borderId="0" xfId="3" applyFont="1">
      <alignment horizontal="left"/>
    </xf>
    <xf numFmtId="0" fontId="1" fillId="0" borderId="0" xfId="1" applyAlignment="1">
      <alignment horizontal="left" vertical="center"/>
    </xf>
    <xf numFmtId="0" fontId="6" fillId="0" borderId="0" xfId="2" applyFont="1" applyAlignment="1">
      <alignment horizontal="left" wrapText="1"/>
    </xf>
    <xf numFmtId="0" fontId="6" fillId="0" borderId="0" xfId="2" applyFont="1" applyAlignment="1">
      <alignment horizontal="left"/>
    </xf>
    <xf numFmtId="0" fontId="6" fillId="0" borderId="0" xfId="2" applyFont="1" applyAlignment="1">
      <alignment horizontal="center" wrapText="1"/>
    </xf>
    <xf numFmtId="0" fontId="6" fillId="0" borderId="0" xfId="2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18" fillId="0" borderId="0" xfId="2" applyFont="1" applyAlignment="1">
      <alignment horizontal="right" vertical="center"/>
    </xf>
    <xf numFmtId="0" fontId="1" fillId="7" borderId="0" xfId="1" applyFill="1" applyAlignment="1">
      <alignment horizontal="center" vertical="center"/>
    </xf>
    <xf numFmtId="0" fontId="1" fillId="8" borderId="0" xfId="1" applyFill="1" applyAlignment="1">
      <alignment horizontal="center" vertical="center"/>
    </xf>
    <xf numFmtId="0" fontId="19" fillId="9" borderId="0" xfId="2" applyFont="1" applyFill="1" applyAlignment="1">
      <alignment horizontal="center" vertical="center"/>
    </xf>
    <xf numFmtId="0" fontId="19" fillId="10" borderId="0" xfId="3" applyFont="1" applyFill="1" applyAlignment="1">
      <alignment horizontal="center" vertical="center"/>
    </xf>
    <xf numFmtId="0" fontId="9" fillId="0" borderId="11" xfId="11" applyBorder="1" applyAlignment="1">
      <alignment horizontal="left" vertical="top"/>
    </xf>
    <xf numFmtId="0" fontId="9" fillId="0" borderId="12" xfId="11" applyBorder="1" applyAlignment="1">
      <alignment horizontal="left" vertical="top"/>
    </xf>
    <xf numFmtId="0" fontId="9" fillId="0" borderId="17" xfId="11" applyBorder="1" applyAlignment="1">
      <alignment horizontal="left" vertical="top"/>
    </xf>
    <xf numFmtId="0" fontId="9" fillId="0" borderId="14" xfId="11" applyBorder="1" applyAlignment="1">
      <alignment horizontal="left" vertical="top"/>
    </xf>
    <xf numFmtId="0" fontId="9" fillId="0" borderId="15" xfId="11" applyBorder="1" applyAlignment="1">
      <alignment horizontal="left" vertical="top"/>
    </xf>
    <xf numFmtId="0" fontId="9" fillId="0" borderId="16" xfId="11" applyBorder="1" applyAlignment="1">
      <alignment horizontal="left" vertical="top"/>
    </xf>
    <xf numFmtId="0" fontId="0" fillId="0" borderId="13" xfId="0" applyBorder="1" applyAlignment="1">
      <alignment horizontal="left"/>
    </xf>
    <xf numFmtId="0" fontId="6" fillId="0" borderId="0" xfId="2" applyFont="1">
      <alignment horizontal="right"/>
    </xf>
    <xf numFmtId="0" fontId="9" fillId="0" borderId="0" xfId="2">
      <alignment horizontal="right"/>
    </xf>
    <xf numFmtId="14" fontId="6" fillId="0" borderId="0" xfId="4" applyFont="1" applyAlignment="1">
      <alignment horizontal="left"/>
    </xf>
    <xf numFmtId="0" fontId="6" fillId="0" borderId="0" xfId="2" applyFont="1" applyAlignment="1">
      <alignment horizontal="right" vertical="center"/>
    </xf>
    <xf numFmtId="0" fontId="0" fillId="0" borderId="0" xfId="3" applyFont="1" applyAlignment="1">
      <alignment horizontal="left" vertical="center"/>
    </xf>
    <xf numFmtId="14" fontId="6" fillId="0" borderId="0" xfId="4" applyFont="1" applyAlignment="1">
      <alignment horizontal="left" vertical="center"/>
    </xf>
  </cellXfs>
  <cellStyles count="23">
    <cellStyle name="Comma" xfId="12" builtinId="3" customBuiltin="1"/>
    <cellStyle name="Comma [0]" xfId="13" builtinId="6" customBuiltin="1"/>
    <cellStyle name="Currency" xfId="14" builtinId="4" customBuiltin="1"/>
    <cellStyle name="Currency [0]" xfId="15" builtinId="7" customBuiltin="1"/>
    <cellStyle name="Currency Custom" xfId="7" xr:uid="{00000000-0005-0000-0000-000004000000}"/>
    <cellStyle name="Date Custom" xfId="4" xr:uid="{00000000-0005-0000-0000-000005000000}"/>
    <cellStyle name="Days" xfId="6" xr:uid="{00000000-0005-0000-0000-000006000000}"/>
    <cellStyle name="Do Not Type" xfId="8" xr:uid="{00000000-0005-0000-0000-000007000000}"/>
    <cellStyle name="Explanatory Text" xfId="21" builtinId="53" customBuiltin="1"/>
    <cellStyle name="Goal Var" xfId="10" xr:uid="{00000000-0005-0000-0000-000009000000}"/>
    <cellStyle name="Heading 1" xfId="17" builtinId="16" customBuiltin="1"/>
    <cellStyle name="Heading 2" xfId="18" builtinId="17" customBuiltin="1"/>
    <cellStyle name="Heading 3" xfId="19" builtinId="18" customBuiltin="1"/>
    <cellStyle name="Input Custom" xfId="3" xr:uid="{00000000-0005-0000-0000-00000D000000}"/>
    <cellStyle name="Labels" xfId="2" xr:uid="{00000000-0005-0000-0000-00000E000000}"/>
    <cellStyle name="Normal" xfId="0" builtinId="0" customBuiltin="1"/>
    <cellStyle name="Note" xfId="20" builtinId="10" customBuiltin="1"/>
    <cellStyle name="Notes" xfId="11" xr:uid="{00000000-0005-0000-0000-000011000000}"/>
    <cellStyle name="Percent" xfId="16" builtinId="5" customBuiltin="1"/>
    <cellStyle name="Table Headers" xfId="5" xr:uid="{00000000-0005-0000-0000-000013000000}"/>
    <cellStyle name="Table Totals" xfId="9" xr:uid="{00000000-0005-0000-0000-000014000000}"/>
    <cellStyle name="Title" xfId="1" builtinId="15"/>
    <cellStyle name="Total" xfId="22" builtinId="25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000000"/>
          <bgColor rgb="FF38654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numFmt numFmtId="168" formatCode="&quot;$&quot;#,##0.00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color theme="0"/>
      </font>
      <fill>
        <patternFill>
          <bgColor theme="4"/>
        </patternFill>
      </fill>
      <border>
        <vertical style="thin">
          <color theme="0"/>
        </vertical>
      </border>
    </dxf>
    <dxf>
      <border>
        <bottom style="thin">
          <color theme="3"/>
        </bottom>
      </border>
    </dxf>
    <dxf>
      <border>
        <vertical style="thin">
          <color theme="3"/>
        </vertical>
      </border>
    </dxf>
  </dxfs>
  <tableStyles count="1" defaultTableStyle="TableStyleMedium2" defaultPivotStyle="PivotStyleLight16">
    <tableStyle name="Weeky Sales Activity" pivot="0" count="3" xr9:uid="{00000000-0011-0000-FFFF-FFFF00000000}">
      <tableStyleElement type="wholeTable" dxfId="44"/>
      <tableStyleElement type="headerRow" dxfId="43"/>
      <tableStyleElement type="totalRow" dxfId="42"/>
    </tableStyle>
  </tableStyles>
  <colors>
    <mruColors>
      <color rgb="FF66CCFF"/>
      <color rgb="FFFCDAFC"/>
      <color rgb="FFF4C42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y" displayName="Activity" ref="B6:O8" totalsRowCount="1" totalsRowDxfId="41" headerRowCellStyle="Table Headers" totalsRowCellStyle="Table Totals">
  <tableColumns count="14">
    <tableColumn id="1" xr3:uid="{00000000-0010-0000-0000-000001000000}" name="DAYS" totalsRowLabel="Totals" totalsRowDxfId="40" dataCellStyle="Table Totals"/>
    <tableColumn id="2" xr3:uid="{00000000-0010-0000-0000-000002000000}" name="JANUARY" totalsRowLabel="$29,016.66" dataDxfId="39" totalsRowDxfId="38" dataCellStyle="Currency Custom"/>
    <tableColumn id="3" xr3:uid="{00000000-0010-0000-0000-000003000000}" name="FEBRUARY" totalsRowFunction="sum" dataDxfId="37" totalsRowDxfId="36" dataCellStyle="Currency Custom"/>
    <tableColumn id="4" xr3:uid="{00000000-0010-0000-0000-000004000000}" name="MARCH" totalsRowFunction="sum" dataDxfId="35" totalsRowDxfId="34" dataCellStyle="Currency Custom"/>
    <tableColumn id="5" xr3:uid="{00000000-0010-0000-0000-000005000000}" name="APRIL" totalsRowFunction="sum" dataDxfId="33" totalsRowDxfId="32" dataCellStyle="Currency Custom"/>
    <tableColumn id="6" xr3:uid="{00000000-0010-0000-0000-000006000000}" name="MAY" totalsRowFunction="sum" dataDxfId="31" totalsRowDxfId="30" dataCellStyle="Currency Custom"/>
    <tableColumn id="7" xr3:uid="{00000000-0010-0000-0000-000007000000}" name="JUNE " totalsRowFunction="sum" dataDxfId="29" totalsRowDxfId="28" dataCellStyle="Currency Custom"/>
    <tableColumn id="8" xr3:uid="{00000000-0010-0000-0000-000008000000}" name="JULY" totalsRowFunction="min" dataDxfId="27" totalsRowDxfId="26" dataCellStyle="Currency Custom"/>
    <tableColumn id="9" xr3:uid="{00000000-0010-0000-0000-000009000000}" name="AUGUST" totalsRowFunction="sum" dataDxfId="25" totalsRowDxfId="24" dataCellStyle="Currency Custom"/>
    <tableColumn id="14" xr3:uid="{86D337E3-86DB-4EFF-8EB0-3C3D50430BEA}" name="SEPTEMBER" totalsRowFunction="custom" dataDxfId="23" totalsRowDxfId="22" dataCellStyle="Currency Custom">
      <totalsRowFormula>SUBTOTAL(109,Activity[AUGUST])</totalsRowFormula>
    </tableColumn>
    <tableColumn id="13" xr3:uid="{53142EE1-B6A3-4388-B47A-0188099A1AB9}" name="OCTOBER" totalsRowFunction="custom" dataDxfId="21" totalsRowDxfId="20" dataCellStyle="Currency Custom">
      <totalsRowFormula>SUBTOTAL(109,Activity[AUGUST])</totalsRowFormula>
    </tableColumn>
    <tableColumn id="10" xr3:uid="{00000000-0010-0000-0000-00000A000000}" name="NOVEMBER" totalsRowFunction="sum" dataDxfId="19" totalsRowDxfId="18" dataCellStyle="Currency Custom"/>
    <tableColumn id="11" xr3:uid="{00000000-0010-0000-0000-00000B000000}" name="DECEMBER" totalsRowFunction="sum" dataDxfId="17" totalsRowDxfId="16" dataCellStyle="Currency Custom"/>
    <tableColumn id="12" xr3:uid="{00000000-0010-0000-0000-00000C000000}" name="TOTAL" totalsRowFunction="sum" dataDxfId="15" totalsRowDxfId="14" dataCellStyle="Currency Custom"/>
  </tableColumns>
  <tableStyleInfo name="Weeky Sales Activity" showFirstColumn="0" showLastColumn="0" showRowStripes="1" showColumnStripes="0"/>
  <extLst>
    <ext xmlns:x14="http://schemas.microsoft.com/office/spreadsheetml/2009/9/main" uri="{504A1905-F514-4f6f-8877-14C23A59335A}">
      <x14:table altTextSummary="Enter Days and various sales costs, including In Office visits, Outside Calls, Food and Beverage, and Meeting Room Rental in this table. Total is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B98CBD-10FC-4A16-98F1-B84D66AC6E3A}" name="Activity3" displayName="Activity3" ref="B5:M13" totalsRowCount="1" totalsRowDxfId="13" headerRowCellStyle="Table Headers" totalsRowCellStyle="Table Totals">
  <tableColumns count="12">
    <tableColumn id="1" xr3:uid="{F6B97855-4B6B-4097-B90C-C165BFD99EB1}" name="DAYS" totalsRowLabel="Totals" totalsRowDxfId="12" dataCellStyle="Table Totals" totalsRowCellStyle="Table Totals"/>
    <tableColumn id="2" xr3:uid="{D8A26377-F98D-45DD-8135-4AF17673FFEC}" name="New Leads" totalsRowFunction="sum" totalsRowDxfId="11" dataCellStyle="Currency Custom" totalsRowCellStyle="Currency Custom"/>
    <tableColumn id="3" xr3:uid="{7B0861A7-9BC1-4926-B4C3-ECFFB18B0D11}" name="Calls Made" totalsRowFunction="sum" totalsRowDxfId="10" dataCellStyle="Currency Custom" totalsRowCellStyle="Currency Custom"/>
    <tableColumn id="4" xr3:uid="{1345B88B-02FD-43FC-9F11-370C74F9675A}" name="Emails Sent" totalsRowFunction="sum" totalsRowDxfId="9" dataCellStyle="Currency Custom" totalsRowCellStyle="Currency Custom"/>
    <tableColumn id="5" xr3:uid="{9802D0EB-B1A5-4A90-AE9A-90AF1C07E3E6}" name="Property Tours Scheduled" totalsRowFunction="sum" totalsRowDxfId="8" dataCellStyle="Currency Custom" totalsRowCellStyle="Currency Custom"/>
    <tableColumn id="6" xr3:uid="{39A8A2AB-1A90-4761-AA38-1E0211EEC17C}" name="Property Tours Completed" totalsRowFunction="sum" totalsRowDxfId="7" dataCellStyle="Currency Custom" totalsRowCellStyle="Currency Custom"/>
    <tableColumn id="7" xr3:uid="{D5D4DFBF-086F-49B9-AA4B-A7AA900262E0}" name="Networking Meetings" totalsRowFunction="sum" totalsRowDxfId="6" dataCellStyle="Currency Custom" totalsRowCellStyle="Currency Custom"/>
    <tableColumn id="8" xr3:uid="{2469D1EA-7B0C-4C2C-A62E-4C9C47640FCC}" name="Broker Outreach" totalsRowFunction="min" totalsRowDxfId="5" dataCellStyle="Currency Custom" totalsRowCellStyle="Currency Custom"/>
    <tableColumn id="9" xr3:uid="{8E9EBA2F-E420-4094-AB23-45316553588F}" name="Other 1" totalsRowFunction="sum" totalsRowDxfId="4" dataCellStyle="Currency Custom" totalsRowCellStyle="Currency Custom"/>
    <tableColumn id="10" xr3:uid="{E6E84C2B-A184-4D29-9B9B-2D3C3F543143}" name="Other 2" totalsRowFunction="sum" totalsRowDxfId="3" dataCellStyle="Currency Custom" totalsRowCellStyle="Currency Custom"/>
    <tableColumn id="11" xr3:uid="{8643B2F4-B2BD-44A8-918B-E04809E23B51}" name="OTHER*" totalsRowFunction="sum" totalsRowDxfId="2" dataCellStyle="Currency Custom" totalsRowCellStyle="Currency Custom"/>
    <tableColumn id="12" xr3:uid="{2BA6BEAA-F204-4D09-A52D-EBF06D6BC2A8}" name="TOTAL" totalsRowFunction="sum" dataDxfId="1" totalsRowDxfId="0" dataCellStyle="Currency Custom" totalsRowCellStyle="Currency Custom">
      <calculatedColumnFormula>SUM(Activity3[[#This Row],[New Leads]:[OTHER*]])</calculatedColumnFormula>
    </tableColumn>
  </tableColumns>
  <tableStyleInfo name="Weeky Sales Activity" showFirstColumn="0" showLastColumn="0" showRowStripes="1" showColumnStripes="0"/>
  <extLst>
    <ext xmlns:x14="http://schemas.microsoft.com/office/spreadsheetml/2009/9/main" uri="{504A1905-F514-4f6f-8877-14C23A59335A}">
      <x14:table altTextSummary="Enter Days and various sales costs, including In Office visits, Outside Calls, Food and Beverage, and Meeting Room Rental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Weeky Sales Activity">
      <a:dk1>
        <a:srgbClr val="000000"/>
      </a:dk1>
      <a:lt1>
        <a:srgbClr val="FFFFFF"/>
      </a:lt1>
      <a:dk2>
        <a:srgbClr val="4E4F4B"/>
      </a:dk2>
      <a:lt2>
        <a:srgbClr val="EAEBEA"/>
      </a:lt2>
      <a:accent1>
        <a:srgbClr val="83BA96"/>
      </a:accent1>
      <a:accent2>
        <a:srgbClr val="D18A4E"/>
      </a:accent2>
      <a:accent3>
        <a:srgbClr val="977974"/>
      </a:accent3>
      <a:accent4>
        <a:srgbClr val="CFA94E"/>
      </a:accent4>
      <a:accent5>
        <a:srgbClr val="7596A9"/>
      </a:accent5>
      <a:accent6>
        <a:srgbClr val="A46675"/>
      </a:accent6>
      <a:hlink>
        <a:srgbClr val="7596A9"/>
      </a:hlink>
      <a:folHlink>
        <a:srgbClr val="A46675"/>
      </a:folHlink>
    </a:clrScheme>
    <a:fontScheme name="Weeky Sales Activity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O17"/>
  <sheetViews>
    <sheetView showGridLines="0" tabSelected="1" zoomScaleNormal="100" workbookViewId="0">
      <selection activeCell="C24" sqref="C24"/>
    </sheetView>
  </sheetViews>
  <sheetFormatPr defaultRowHeight="20.25" customHeight="1" x14ac:dyDescent="0.3"/>
  <cols>
    <col min="1" max="1" width="2.58203125" customWidth="1"/>
    <col min="2" max="2" width="14.5" customWidth="1"/>
    <col min="3" max="3" width="13.58203125" customWidth="1"/>
    <col min="4" max="4" width="16.75" customWidth="1"/>
    <col min="5" max="8" width="13.58203125" customWidth="1"/>
    <col min="9" max="9" width="14.08203125" customWidth="1"/>
    <col min="10" max="15" width="13.58203125" customWidth="1"/>
    <col min="16" max="16" width="2.58203125" customWidth="1"/>
  </cols>
  <sheetData>
    <row r="1" spans="2:15" ht="12" customHeight="1" x14ac:dyDescent="0.3">
      <c r="B1" s="41" t="s">
        <v>44</v>
      </c>
      <c r="C1" s="41"/>
      <c r="D1" s="41"/>
      <c r="E1" s="41"/>
      <c r="F1" s="41"/>
      <c r="G1" s="41"/>
      <c r="H1" s="41"/>
      <c r="I1" s="42" t="s">
        <v>33</v>
      </c>
      <c r="J1" s="40"/>
      <c r="K1" s="40"/>
      <c r="L1" s="40"/>
      <c r="M1" s="40"/>
      <c r="N1" s="39" t="s">
        <v>1</v>
      </c>
      <c r="O1" s="35" t="s">
        <v>20</v>
      </c>
    </row>
    <row r="2" spans="2:15" ht="20.25" customHeight="1" x14ac:dyDescent="0.3">
      <c r="B2" s="41"/>
      <c r="C2" s="41"/>
      <c r="D2" s="41"/>
      <c r="E2" s="41"/>
      <c r="F2" s="41"/>
      <c r="G2" s="41"/>
      <c r="H2" s="41"/>
      <c r="I2" s="43"/>
      <c r="J2" s="40"/>
      <c r="K2" s="40"/>
      <c r="L2" s="40"/>
      <c r="M2" s="40"/>
      <c r="N2" s="39"/>
      <c r="O2" s="36"/>
    </row>
    <row r="3" spans="2:15" ht="20.25" customHeight="1" x14ac:dyDescent="0.3">
      <c r="B3" s="41"/>
      <c r="C3" s="41"/>
      <c r="D3" s="41"/>
      <c r="E3" s="41"/>
      <c r="F3" s="41"/>
      <c r="G3" s="41"/>
      <c r="H3" s="41"/>
      <c r="I3" s="44" t="s">
        <v>42</v>
      </c>
      <c r="J3" s="46" t="s">
        <v>41</v>
      </c>
      <c r="K3" s="46"/>
      <c r="L3" s="46"/>
      <c r="M3" s="46"/>
      <c r="N3" s="47" t="s">
        <v>3</v>
      </c>
      <c r="O3" s="37" t="s">
        <v>20</v>
      </c>
    </row>
    <row r="4" spans="2:15" ht="29.25" customHeight="1" x14ac:dyDescent="0.3">
      <c r="B4" s="41"/>
      <c r="C4" s="41"/>
      <c r="D4" s="41"/>
      <c r="E4" s="41"/>
      <c r="F4" s="41"/>
      <c r="G4" s="41"/>
      <c r="H4" s="41"/>
      <c r="I4" s="45"/>
      <c r="J4" s="46"/>
      <c r="K4" s="46"/>
      <c r="L4" s="46"/>
      <c r="M4" s="46"/>
      <c r="N4" s="47"/>
      <c r="O4" s="38"/>
    </row>
    <row r="5" spans="2:15" ht="29.25" customHeight="1" x14ac:dyDescent="0.3">
      <c r="B5" s="24"/>
      <c r="C5" s="48" t="s">
        <v>34</v>
      </c>
      <c r="D5" s="48"/>
      <c r="E5" s="48"/>
      <c r="F5" s="49" t="s">
        <v>35</v>
      </c>
      <c r="G5" s="49"/>
      <c r="H5" s="49"/>
      <c r="I5" s="50" t="s">
        <v>36</v>
      </c>
      <c r="J5" s="50"/>
      <c r="K5" s="50"/>
      <c r="L5" s="51" t="s">
        <v>37</v>
      </c>
      <c r="M5" s="51"/>
      <c r="N5" s="51"/>
      <c r="O5" s="23"/>
    </row>
    <row r="6" spans="2:15" ht="30.75" customHeight="1" x14ac:dyDescent="0.3">
      <c r="B6" s="12" t="s">
        <v>4</v>
      </c>
      <c r="C6" s="15" t="s">
        <v>21</v>
      </c>
      <c r="D6" s="15" t="s">
        <v>22</v>
      </c>
      <c r="E6" s="15" t="s">
        <v>23</v>
      </c>
      <c r="F6" s="15" t="s">
        <v>24</v>
      </c>
      <c r="G6" s="15" t="s">
        <v>25</v>
      </c>
      <c r="H6" s="15" t="s">
        <v>26</v>
      </c>
      <c r="I6" s="15" t="s">
        <v>27</v>
      </c>
      <c r="J6" s="15" t="s">
        <v>28</v>
      </c>
      <c r="K6" s="15" t="s">
        <v>29</v>
      </c>
      <c r="L6" s="15" t="s">
        <v>30</v>
      </c>
      <c r="M6" s="15" t="s">
        <v>31</v>
      </c>
      <c r="N6" s="15" t="s">
        <v>32</v>
      </c>
      <c r="O6" s="15" t="s">
        <v>5</v>
      </c>
    </row>
    <row r="7" spans="2:15" ht="20.25" customHeight="1" x14ac:dyDescent="0.3">
      <c r="B7" s="2"/>
      <c r="C7" s="30">
        <v>29016.66</v>
      </c>
      <c r="D7" s="30">
        <v>2303.65</v>
      </c>
      <c r="E7" s="30">
        <v>0</v>
      </c>
      <c r="F7" s="30">
        <v>0</v>
      </c>
      <c r="G7" s="30">
        <v>0</v>
      </c>
      <c r="H7" s="30"/>
      <c r="I7" s="30"/>
      <c r="J7" s="30"/>
      <c r="K7" s="30"/>
      <c r="L7" s="30"/>
      <c r="M7" s="30"/>
      <c r="N7" s="30"/>
      <c r="O7" s="31">
        <v>0</v>
      </c>
    </row>
    <row r="8" spans="2:15" ht="20.25" customHeight="1" x14ac:dyDescent="0.3">
      <c r="B8" s="14" t="s">
        <v>13</v>
      </c>
      <c r="C8" s="32" t="s">
        <v>43</v>
      </c>
      <c r="D8" s="32">
        <f>SUBTOTAL(109,Activity[FEBRUARY])</f>
        <v>2303.65</v>
      </c>
      <c r="E8" s="32">
        <f>SUBTOTAL(109,Activity[MARCH])</f>
        <v>0</v>
      </c>
      <c r="F8" s="32">
        <f>SUBTOTAL(109,Activity[APRIL])</f>
        <v>0</v>
      </c>
      <c r="G8" s="32">
        <f>SUBTOTAL(109,Activity[MAY])</f>
        <v>0</v>
      </c>
      <c r="H8" s="32">
        <f>SUBTOTAL(109,Activity[[JUNE ]])</f>
        <v>0</v>
      </c>
      <c r="I8" s="32">
        <f>SUBTOTAL(105,Activity[JULY])</f>
        <v>0</v>
      </c>
      <c r="J8" s="32">
        <f>SUBTOTAL(109,Activity[AUGUST])</f>
        <v>0</v>
      </c>
      <c r="K8" s="32">
        <f>SUBTOTAL(109,Activity[AUGUST])</f>
        <v>0</v>
      </c>
      <c r="L8" s="32">
        <f>SUBTOTAL(109,Activity[AUGUST])</f>
        <v>0</v>
      </c>
      <c r="M8" s="32">
        <f>SUBTOTAL(109,Activity[NOVEMBER])</f>
        <v>0</v>
      </c>
      <c r="N8" s="32">
        <f>SUBTOTAL(109,Activity[DECEMBER])</f>
        <v>0</v>
      </c>
      <c r="O8" s="32">
        <f>SUBTOTAL(109,Activity[TOTAL])</f>
        <v>0</v>
      </c>
    </row>
    <row r="9" spans="2:15" ht="20.25" customHeight="1" x14ac:dyDescent="0.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2:15" ht="20.25" customHeight="1" x14ac:dyDescent="0.3">
      <c r="B10" s="19" t="s">
        <v>14</v>
      </c>
      <c r="C10" s="20">
        <v>65000</v>
      </c>
      <c r="D10" s="20">
        <v>7221</v>
      </c>
      <c r="E10" s="20">
        <v>11367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1">
        <v>0</v>
      </c>
    </row>
    <row r="11" spans="2:15" ht="20.25" customHeight="1" x14ac:dyDescent="0.3">
      <c r="B11" s="11" t="s">
        <v>15</v>
      </c>
      <c r="C11" s="7">
        <f>SUM(Activity[[#Totals],[JANUARY]]-C10)</f>
        <v>-35983.339999999997</v>
      </c>
      <c r="D11" s="7">
        <f>SUM(Activity[[#Totals],[FEBRUARY]]-D10)</f>
        <v>-4917.3500000000004</v>
      </c>
      <c r="E11" s="7">
        <f>SUM(Activity[[#Totals],[MARCH]]-E10)</f>
        <v>-11367</v>
      </c>
      <c r="F11" s="7">
        <f>SUM(Activity[[#Totals],[MARCH]]-F10)</f>
        <v>0</v>
      </c>
      <c r="G11" s="7">
        <f>SUM(Activity[[#Totals],[MAY]]-G10)</f>
        <v>0</v>
      </c>
      <c r="H11" s="7">
        <f>SUM(Activity[[#Totals],[JUNE ]]-H10)</f>
        <v>0</v>
      </c>
      <c r="I11" s="7">
        <f>SUM(Activity[[#Totals],[JULY]]-I10)</f>
        <v>0</v>
      </c>
      <c r="J11" s="7">
        <f>SUM(Activity[[#Totals],[AUGUST]]-J10)</f>
        <v>0</v>
      </c>
      <c r="K11" s="7">
        <f>SUM(Activity[[#Totals],[AUGUST]]-K10)</f>
        <v>0</v>
      </c>
      <c r="L11" s="7">
        <f>SUM(Activity[[#Totals],[AUGUST]]-L10)</f>
        <v>0</v>
      </c>
      <c r="M11" s="7">
        <f>SUM(Activity[[#Totals],[NOVEMBER]]-M10)</f>
        <v>0</v>
      </c>
      <c r="N11" s="7">
        <f>SUM(Activity[[#Totals],[DECEMBER]]-N10)</f>
        <v>0</v>
      </c>
      <c r="O11" s="6">
        <f>SUM(C11:N11)</f>
        <v>-52267.689999999995</v>
      </c>
    </row>
    <row r="12" spans="2:15" ht="22.5" customHeight="1" x14ac:dyDescent="0.3"/>
    <row r="13" spans="2:15" s="16" customFormat="1" ht="20.25" customHeight="1" x14ac:dyDescent="0.3">
      <c r="B13" s="33" t="s">
        <v>38</v>
      </c>
      <c r="C13" s="33"/>
      <c r="D13" s="33"/>
      <c r="E13" s="26">
        <v>0</v>
      </c>
      <c r="F13" s="17"/>
    </row>
    <row r="14" spans="2:15" s="16" customFormat="1" ht="20.25" customHeight="1" x14ac:dyDescent="0.3">
      <c r="B14" s="27"/>
      <c r="C14" s="33" t="s">
        <v>39</v>
      </c>
      <c r="D14" s="33"/>
      <c r="E14" s="26">
        <v>0</v>
      </c>
      <c r="F14" s="17"/>
    </row>
    <row r="15" spans="2:15" s="16" customFormat="1" ht="20.25" customHeight="1" x14ac:dyDescent="0.3">
      <c r="B15" s="27"/>
      <c r="C15" s="25"/>
      <c r="D15" s="25" t="s">
        <v>40</v>
      </c>
      <c r="E15" s="26">
        <v>0</v>
      </c>
      <c r="F15" s="17"/>
    </row>
    <row r="16" spans="2:15" s="16" customFormat="1" ht="18.5" customHeight="1" x14ac:dyDescent="0.3">
      <c r="B16" s="28"/>
      <c r="C16" s="34" t="s">
        <v>45</v>
      </c>
      <c r="D16" s="34"/>
      <c r="E16" s="29">
        <f>E13-E14</f>
        <v>0</v>
      </c>
      <c r="F16" s="22"/>
    </row>
    <row r="17" spans="5:5" ht="20.25" customHeight="1" x14ac:dyDescent="0.3">
      <c r="E17" s="18"/>
    </row>
  </sheetData>
  <mergeCells count="16">
    <mergeCell ref="C14:D14"/>
    <mergeCell ref="B13:D13"/>
    <mergeCell ref="C16:D16"/>
    <mergeCell ref="O1:O2"/>
    <mergeCell ref="O3:O4"/>
    <mergeCell ref="N1:N2"/>
    <mergeCell ref="J1:M2"/>
    <mergeCell ref="B1:H4"/>
    <mergeCell ref="I1:I2"/>
    <mergeCell ref="I3:I4"/>
    <mergeCell ref="J3:M4"/>
    <mergeCell ref="N3:N4"/>
    <mergeCell ref="C5:E5"/>
    <mergeCell ref="F5:H5"/>
    <mergeCell ref="I5:K5"/>
    <mergeCell ref="L5:N5"/>
  </mergeCells>
  <phoneticPr fontId="15" type="noConversion"/>
  <dataValidations count="27">
    <dataValidation allowBlank="1" showInputMessage="1" showErrorMessage="1" prompt="Create a Weekly Sales Activity Report in this worksheet. Enter sales details in Activity table and Goal amount in row below the table. Variance is automatically calculated" sqref="A1" xr:uid="{00000000-0002-0000-0000-000000000000}"/>
    <dataValidation allowBlank="1" showInputMessage="1" showErrorMessage="1" prompt="Enter Salesperson name in cell at right" sqref="I1" xr:uid="{00000000-0002-0000-0000-000001000000}"/>
    <dataValidation allowBlank="1" showInputMessage="1" showErrorMessage="1" prompt="Enter Salesperson name in this cell" sqref="J1:L1" xr:uid="{00000000-0002-0000-0000-000002000000}"/>
    <dataValidation allowBlank="1" showInputMessage="1" showErrorMessage="1" prompt="Enter Location in cell at right" sqref="I3" xr:uid="{00000000-0002-0000-0000-000003000000}"/>
    <dataValidation allowBlank="1" showInputMessage="1" showErrorMessage="1" prompt="Enter Location in this cell" sqref="J3:L3" xr:uid="{00000000-0002-0000-0000-000004000000}"/>
    <dataValidation allowBlank="1" showInputMessage="1" showErrorMessage="1" prompt="Enter Week Ending Date in cell at right" sqref="N1" xr:uid="{00000000-0002-0000-0000-000005000000}"/>
    <dataValidation allowBlank="1" showInputMessage="1" showErrorMessage="1" prompt="Enter Week Ending Date in this cell" sqref="O1" xr:uid="{00000000-0002-0000-0000-000006000000}"/>
    <dataValidation allowBlank="1" showInputMessage="1" showErrorMessage="1" prompt="Enter Today’s Date in cell at right" sqref="N3" xr:uid="{00000000-0002-0000-0000-000007000000}"/>
    <dataValidation allowBlank="1" showInputMessage="1" showErrorMessage="1" prompt="Enter Today’s Date in this cell" sqref="O3" xr:uid="{00000000-0002-0000-0000-000008000000}"/>
    <dataValidation allowBlank="1" showInputMessage="1" showErrorMessage="1" prompt="Enter Days in this column under this heading" sqref="B6" xr:uid="{00000000-0002-0000-0000-000009000000}"/>
    <dataValidation allowBlank="1" showInputMessage="1" showErrorMessage="1" prompt="Enter In Sales Office amount in this column under this heading" sqref="C6" xr:uid="{00000000-0002-0000-0000-00000A000000}"/>
    <dataValidation allowBlank="1" showInputMessage="1" showErrorMessage="1" prompt="Enter Outside Office amount in this column under this heading" sqref="D6" xr:uid="{00000000-0002-0000-0000-00000B000000}"/>
    <dataValidation allowBlank="1" showInputMessage="1" showErrorMessage="1" prompt="Enter In Office Visits cost in this column under this heading" sqref="E6" xr:uid="{00000000-0002-0000-0000-00000C000000}"/>
    <dataValidation allowBlank="1" showInputMessage="1" showErrorMessage="1" prompt="Enter Outside Calls cost in this column under this heading" sqref="F6" xr:uid="{00000000-0002-0000-0000-00000D000000}"/>
    <dataValidation allowBlank="1" showInputMessage="1" showErrorMessage="1" prompt="Enter File Phone Calls cost in this column under this heading" sqref="G6" xr:uid="{00000000-0002-0000-0000-00000E000000}"/>
    <dataValidation allowBlank="1" showInputMessage="1" showErrorMessage="1" prompt="Enter New Account Phone cost in this column under this heading" sqref="H6" xr:uid="{00000000-0002-0000-0000-00000F000000}"/>
    <dataValidation allowBlank="1" showInputMessage="1" showErrorMessage="1" prompt="Enter Guest Rooms cost in this column under this heading" sqref="I6" xr:uid="{00000000-0002-0000-0000-000010000000}"/>
    <dataValidation allowBlank="1" showInputMessage="1" showErrorMessage="1" prompt="Enter Food and Beverage cost in this column under this heading" sqref="J6:L6" xr:uid="{00000000-0002-0000-0000-000011000000}"/>
    <dataValidation allowBlank="1" showInputMessage="1" showErrorMessage="1" prompt="Enter Meeting Room Rental in this column under this heading" sqref="M6" xr:uid="{00000000-0002-0000-0000-000012000000}"/>
    <dataValidation allowBlank="1" showInputMessage="1" showErrorMessage="1" prompt="Enter Other costs in this column under this heading" sqref="N6" xr:uid="{00000000-0002-0000-0000-000013000000}"/>
    <dataValidation allowBlank="1" showInputMessage="1" showErrorMessage="1" prompt="Total is automatically calculated in this column under this heading. Enter Goal costs in cells below the table and Variance is automatically calculated" sqref="O6" xr:uid="{00000000-0002-0000-0000-000014000000}"/>
    <dataValidation allowBlank="1" showInputMessage="1" showErrorMessage="1" prompt="Enter Goal costs in cells at right. Variance is automatically calculated in cells below" sqref="B10" xr:uid="{00000000-0002-0000-0000-000015000000}"/>
    <dataValidation allowBlank="1" showInputMessage="1" showErrorMessage="1" prompt="Variance is automatically calculated, and icons are updated in cells at right. Enter Explanation and Approval in cells below" sqref="B11" xr:uid="{00000000-0002-0000-0000-000016000000}"/>
    <dataValidation allowBlank="1" showInputMessage="1" showErrorMessage="1" prompt="Enter Approval in cell at right" sqref="B16" xr:uid="{00000000-0002-0000-0000-000018000000}"/>
    <dataValidation allowBlank="1" showInputMessage="1" showErrorMessage="1" prompt="Enter Approval in this cell" sqref="E17 F16 C16" xr:uid="{00000000-0002-0000-0000-000019000000}"/>
    <dataValidation allowBlank="1" showInputMessage="1" showErrorMessage="1" prompt="Title of this worksheet is in this cell. Enter Salesperson name in cell J1, Location in cell J3, and Dates in cells M1 and M3" sqref="B1:C5 D1:E4 F1:F5 G1:H4" xr:uid="{00000000-0002-0000-0000-00001A000000}"/>
    <dataValidation allowBlank="1" showInputMessage="1" showErrorMessage="1" prompt="Enter Explanation in this cell, and Approval in cell C20" sqref="E13:F15 B13 B14:C15" xr:uid="{00000000-0002-0000-0000-000017000000}"/>
  </dataValidations>
  <printOptions horizontalCentered="1"/>
  <pageMargins left="0.25" right="0.25" top="0.75" bottom="0.75" header="0.3" footer="0.3"/>
  <pageSetup scale="73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7D709EC-13E9-4561-9B3E-7D590451F3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C11:O11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04FE-132D-4414-BC83-90387EA2ADD1}">
  <sheetPr>
    <tabColor rgb="FF66CCFF"/>
    <pageSetUpPr fitToPage="1"/>
  </sheetPr>
  <dimension ref="B1:M20"/>
  <sheetViews>
    <sheetView showGridLines="0" zoomScaleNormal="100" workbookViewId="0">
      <selection activeCell="H21" sqref="H21"/>
    </sheetView>
  </sheetViews>
  <sheetFormatPr defaultRowHeight="20.25" customHeight="1" x14ac:dyDescent="0.3"/>
  <cols>
    <col min="1" max="1" width="2.58203125" customWidth="1"/>
    <col min="2" max="2" width="14.5" customWidth="1"/>
    <col min="3" max="8" width="13.58203125" customWidth="1"/>
    <col min="9" max="9" width="15.58203125" customWidth="1"/>
    <col min="10" max="13" width="13.58203125" customWidth="1"/>
    <col min="14" max="14" width="2.58203125" customWidth="1"/>
  </cols>
  <sheetData>
    <row r="1" spans="2:13" ht="12" customHeight="1" x14ac:dyDescent="0.3">
      <c r="B1" s="41" t="s">
        <v>19</v>
      </c>
      <c r="C1" s="41"/>
      <c r="D1" s="41"/>
      <c r="E1" s="41"/>
      <c r="F1" s="41"/>
      <c r="G1" s="41"/>
      <c r="H1" s="41"/>
      <c r="I1" s="59" t="s">
        <v>0</v>
      </c>
      <c r="J1" s="40"/>
      <c r="K1" s="40"/>
      <c r="L1" s="59" t="s">
        <v>1</v>
      </c>
      <c r="M1" s="61" t="s">
        <v>20</v>
      </c>
    </row>
    <row r="2" spans="2:13" ht="20.25" customHeight="1" x14ac:dyDescent="0.3">
      <c r="B2" s="41"/>
      <c r="C2" s="41"/>
      <c r="D2" s="41"/>
      <c r="E2" s="41"/>
      <c r="F2" s="41"/>
      <c r="G2" s="41"/>
      <c r="H2" s="41"/>
      <c r="I2" s="60"/>
      <c r="J2" s="40"/>
      <c r="K2" s="40"/>
      <c r="L2" s="59"/>
      <c r="M2" s="61"/>
    </row>
    <row r="3" spans="2:13" ht="20.25" customHeight="1" x14ac:dyDescent="0.3">
      <c r="B3" s="41"/>
      <c r="C3" s="41"/>
      <c r="D3" s="41"/>
      <c r="E3" s="41"/>
      <c r="F3" s="41"/>
      <c r="G3" s="41"/>
      <c r="H3" s="41"/>
      <c r="I3" s="62" t="s">
        <v>2</v>
      </c>
      <c r="J3" s="63"/>
      <c r="K3" s="63"/>
      <c r="L3" s="62" t="s">
        <v>3</v>
      </c>
      <c r="M3" s="64" t="s">
        <v>20</v>
      </c>
    </row>
    <row r="4" spans="2:13" ht="29.25" customHeight="1" x14ac:dyDescent="0.3">
      <c r="B4" s="41"/>
      <c r="C4" s="41"/>
      <c r="D4" s="41"/>
      <c r="E4" s="41"/>
      <c r="F4" s="41"/>
      <c r="G4" s="41"/>
      <c r="H4" s="41"/>
      <c r="I4" s="62"/>
      <c r="J4" s="63"/>
      <c r="K4" s="63"/>
      <c r="L4" s="62"/>
      <c r="M4" s="64"/>
    </row>
    <row r="5" spans="2:13" ht="30.75" customHeight="1" x14ac:dyDescent="0.3">
      <c r="B5" s="12" t="s">
        <v>4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18</v>
      </c>
      <c r="M5" s="1" t="s">
        <v>5</v>
      </c>
    </row>
    <row r="6" spans="2:13" ht="20.25" customHeight="1" x14ac:dyDescent="0.3">
      <c r="B6" s="2" t="s">
        <v>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4">
        <f>SUM(Activity3[[#This Row],[New Leads]:[OTHER*]])</f>
        <v>0</v>
      </c>
    </row>
    <row r="7" spans="2:13" ht="20.25" customHeight="1" x14ac:dyDescent="0.3">
      <c r="B7" s="2" t="s">
        <v>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4">
        <f>SUM(Activity3[[#This Row],[New Leads]:[OTHER*]])</f>
        <v>0</v>
      </c>
    </row>
    <row r="8" spans="2:13" ht="20.25" customHeight="1" x14ac:dyDescent="0.3">
      <c r="B8" s="2" t="s">
        <v>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4">
        <f>SUM(Activity3[[#This Row],[New Leads]:[OTHER*]])</f>
        <v>0</v>
      </c>
    </row>
    <row r="9" spans="2:13" ht="20.25" customHeight="1" x14ac:dyDescent="0.3">
      <c r="B9" s="2" t="s">
        <v>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4">
        <f>SUM(Activity3[[#This Row],[New Leads]:[OTHER*]])</f>
        <v>0</v>
      </c>
    </row>
    <row r="10" spans="2:13" ht="20.25" customHeight="1" x14ac:dyDescent="0.3">
      <c r="B10" s="2" t="s">
        <v>10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4">
        <f>SUM(Activity3[[#This Row],[New Leads]:[OTHER*]])</f>
        <v>0</v>
      </c>
    </row>
    <row r="11" spans="2:13" ht="20.25" customHeight="1" x14ac:dyDescent="0.3">
      <c r="B11" s="2" t="s">
        <v>11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4">
        <f>SUM(Activity3[[#This Row],[New Leads]:[OTHER*]])</f>
        <v>0</v>
      </c>
    </row>
    <row r="12" spans="2:13" ht="20.25" customHeight="1" x14ac:dyDescent="0.3">
      <c r="B12" s="2" t="s">
        <v>12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4">
        <f>SUM(Activity3[[#This Row],[New Leads]:[OTHER*]])</f>
        <v>0</v>
      </c>
    </row>
    <row r="13" spans="2:13" ht="20.25" customHeight="1" x14ac:dyDescent="0.3">
      <c r="B13" s="8" t="s">
        <v>13</v>
      </c>
      <c r="C13" s="9">
        <f>SUBTOTAL(109,Activity3[New Leads])</f>
        <v>0</v>
      </c>
      <c r="D13" s="9">
        <f>SUBTOTAL(109,Activity3[Calls Made])</f>
        <v>0</v>
      </c>
      <c r="E13" s="9">
        <f>SUBTOTAL(109,Activity3[Emails Sent])</f>
        <v>0</v>
      </c>
      <c r="F13" s="9">
        <f>SUBTOTAL(109,Activity3[Property Tours Scheduled])</f>
        <v>0</v>
      </c>
      <c r="G13" s="9">
        <f>SUBTOTAL(109,Activity3[Property Tours Completed])</f>
        <v>0</v>
      </c>
      <c r="H13" s="9">
        <f>SUBTOTAL(109,Activity3[Networking Meetings])</f>
        <v>0</v>
      </c>
      <c r="I13" s="9">
        <f>SUBTOTAL(105,Activity3[Broker Outreach])</f>
        <v>0</v>
      </c>
      <c r="J13" s="9">
        <f>SUBTOTAL(109,Activity3[Other 1])</f>
        <v>0</v>
      </c>
      <c r="K13" s="9">
        <f>SUBTOTAL(109,Activity3[Other 2])</f>
        <v>0</v>
      </c>
      <c r="L13" s="9">
        <f>SUBTOTAL(109,Activity3[OTHER*])</f>
        <v>0</v>
      </c>
      <c r="M13" s="9">
        <f>SUBTOTAL(109,Activity3[TOTAL])</f>
        <v>0</v>
      </c>
    </row>
    <row r="14" spans="2:13" ht="20.25" customHeight="1" x14ac:dyDescent="0.3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2:13" ht="20.25" customHeight="1" x14ac:dyDescent="0.3">
      <c r="B15" s="10" t="s">
        <v>14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6">
        <f>SUM(C15:L15)</f>
        <v>0</v>
      </c>
    </row>
    <row r="16" spans="2:13" ht="20.25" customHeight="1" x14ac:dyDescent="0.3">
      <c r="B16" s="11" t="s">
        <v>15</v>
      </c>
      <c r="C16" s="7">
        <f>SUM(Activity3[[#Totals],[New Leads]]-C15)</f>
        <v>0</v>
      </c>
      <c r="D16" s="7">
        <f>SUM(Activity3[[#Totals],[Calls Made]]-D15)</f>
        <v>0</v>
      </c>
      <c r="E16" s="7">
        <f>SUM(Activity3[[#Totals],[Emails Sent]]-E15)</f>
        <v>0</v>
      </c>
      <c r="F16" s="7">
        <f>SUM(Activity3[[#Totals],[Emails Sent]]-F15)</f>
        <v>0</v>
      </c>
      <c r="G16" s="7">
        <f>SUM(Activity3[[#Totals],[Property Tours Completed]]-G15)</f>
        <v>0</v>
      </c>
      <c r="H16" s="7">
        <f>SUM(Activity3[[#Totals],[Networking Meetings]]-H15)</f>
        <v>0</v>
      </c>
      <c r="I16" s="7">
        <f>SUM(Activity3[[#Totals],[Broker Outreach]]-I15)</f>
        <v>0</v>
      </c>
      <c r="J16" s="7">
        <f>SUM(Activity3[[#Totals],[Other 1]]-J15)</f>
        <v>0</v>
      </c>
      <c r="K16" s="7">
        <f>SUM(Activity3[[#Totals],[Other 2]]-K15)</f>
        <v>0</v>
      </c>
      <c r="L16" s="7">
        <f>SUM(Activity3[[#Totals],[OTHER*]]-L15)</f>
        <v>0</v>
      </c>
      <c r="M16" s="6">
        <f>SUM(C16:L16)</f>
        <v>0</v>
      </c>
    </row>
    <row r="17" spans="2:6" ht="40.5" customHeight="1" x14ac:dyDescent="0.3"/>
    <row r="18" spans="2:6" ht="20.25" customHeight="1" x14ac:dyDescent="0.3">
      <c r="B18" s="52" t="s">
        <v>17</v>
      </c>
      <c r="C18" s="53"/>
      <c r="D18" s="53"/>
      <c r="E18" s="53"/>
      <c r="F18" s="54"/>
    </row>
    <row r="19" spans="2:6" ht="20.25" customHeight="1" x14ac:dyDescent="0.3">
      <c r="B19" s="55"/>
      <c r="C19" s="56"/>
      <c r="D19" s="56"/>
      <c r="E19" s="56"/>
      <c r="F19" s="57"/>
    </row>
    <row r="20" spans="2:6" ht="27.75" customHeight="1" x14ac:dyDescent="0.3">
      <c r="B20" t="s">
        <v>16</v>
      </c>
      <c r="C20" s="58"/>
      <c r="D20" s="58"/>
      <c r="E20" s="58"/>
      <c r="F20" s="58"/>
    </row>
  </sheetData>
  <mergeCells count="11">
    <mergeCell ref="L1:L2"/>
    <mergeCell ref="M1:M2"/>
    <mergeCell ref="I3:I4"/>
    <mergeCell ref="J3:K4"/>
    <mergeCell ref="L3:L4"/>
    <mergeCell ref="M3:M4"/>
    <mergeCell ref="B18:F19"/>
    <mergeCell ref="C20:F20"/>
    <mergeCell ref="B1:H4"/>
    <mergeCell ref="I1:I2"/>
    <mergeCell ref="J1:K2"/>
  </mergeCells>
  <dataValidations count="27">
    <dataValidation allowBlank="1" showInputMessage="1" showErrorMessage="1" prompt="Title of this worksheet is in this cell. Enter Salesperson name in cell J1, Location in cell J3, and Dates in cells M1 and M3" sqref="B1:H4" xr:uid="{90862E9D-7A6A-4C2E-B656-531221151BF1}"/>
    <dataValidation allowBlank="1" showInputMessage="1" showErrorMessage="1" prompt="Enter Approval in this cell" sqref="C20:F20" xr:uid="{25564BB1-0260-426B-AD42-2C34D9160CC6}"/>
    <dataValidation allowBlank="1" showInputMessage="1" showErrorMessage="1" prompt="Enter Approval in cell at right" sqref="B20" xr:uid="{DFACCB19-4389-4E82-8702-210DC9E3A97C}"/>
    <dataValidation allowBlank="1" showInputMessage="1" showErrorMessage="1" prompt="Enter Explanation in this cell, and Approval in cell C20" sqref="B18:F19" xr:uid="{AF55FE69-8F72-47D7-B5F9-D2A03E8204F7}"/>
    <dataValidation allowBlank="1" showInputMessage="1" showErrorMessage="1" prompt="Variance is automatically calculated, and icons are updated in cells at right. Enter Explanation and Approval in cells below" sqref="B16" xr:uid="{F00A145D-D3D7-41FC-8197-EE3CC2F00B0D}"/>
    <dataValidation allowBlank="1" showInputMessage="1" showErrorMessage="1" prompt="Enter Goal costs in cells at right. Variance is automatically calculated in cells below" sqref="B15" xr:uid="{06E113E8-8875-47F0-A47C-B024A50B085E}"/>
    <dataValidation allowBlank="1" showInputMessage="1" showErrorMessage="1" prompt="Total is automatically calculated in this column under this heading. Enter Goal costs in cells below the table and Variance is automatically calculated" sqref="M5" xr:uid="{D032C9E5-1BC2-4862-932C-6683341A7AAA}"/>
    <dataValidation allowBlank="1" showInputMessage="1" showErrorMessage="1" prompt="Enter Other costs in this column under this heading" sqref="L5" xr:uid="{F43DD717-560A-439E-B95E-9E51D3EAB2DA}"/>
    <dataValidation allowBlank="1" showInputMessage="1" showErrorMessage="1" prompt="Enter Meeting Room Rental in this column under this heading" sqref="K5" xr:uid="{98F72E9A-BB81-4BB8-B28D-D99503E76CAF}"/>
    <dataValidation allowBlank="1" showInputMessage="1" showErrorMessage="1" prompt="Enter Food and Beverage cost in this column under this heading" sqref="J5" xr:uid="{9AE92BE4-7D9C-4326-A7DA-F9E4AD81D585}"/>
    <dataValidation allowBlank="1" showInputMessage="1" showErrorMessage="1" prompt="Enter Guest Rooms cost in this column under this heading" sqref="I5" xr:uid="{40CAB7A6-6DFD-4472-A9C6-A7444FBF8CA4}"/>
    <dataValidation allowBlank="1" showInputMessage="1" showErrorMessage="1" prompt="Enter New Account Phone cost in this column under this heading" sqref="H5" xr:uid="{7988255A-CED6-4B33-B634-917D6B20A3E7}"/>
    <dataValidation allowBlank="1" showInputMessage="1" showErrorMessage="1" prompt="Enter File Phone Calls cost in this column under this heading" sqref="G5" xr:uid="{6C130DD8-48E5-4408-8918-2CCAC19ED54D}"/>
    <dataValidation allowBlank="1" showInputMessage="1" showErrorMessage="1" prompt="Enter Outside Calls cost in this column under this heading" sqref="F5" xr:uid="{799F724A-ADC1-4CB4-BBB9-D6A137FF0A50}"/>
    <dataValidation allowBlank="1" showInputMessage="1" showErrorMessage="1" prompt="Enter In Office Visits cost in this column under this heading" sqref="E5" xr:uid="{652C4BCF-C2B0-45DE-A79D-54F50A247CB1}"/>
    <dataValidation allowBlank="1" showInputMessage="1" showErrorMessage="1" prompt="Enter Outside Office amount in this column under this heading" sqref="D5" xr:uid="{E17A72B9-43B9-4E4A-9161-EA2332F9FF72}"/>
    <dataValidation allowBlank="1" showInputMessage="1" showErrorMessage="1" prompt="Enter In Sales Office amount in this column under this heading" sqref="C5" xr:uid="{12072A4B-61E0-4EB9-9EA0-4442232A067F}"/>
    <dataValidation allowBlank="1" showInputMessage="1" showErrorMessage="1" prompt="Enter Days in this column under this heading" sqref="B5" xr:uid="{A160142B-8A52-4C80-83D9-B1A1DA8AE108}"/>
    <dataValidation allowBlank="1" showInputMessage="1" showErrorMessage="1" prompt="Enter Today’s Date in this cell" sqref="M3" xr:uid="{8E39849F-E80B-4127-83C7-81E6D70C933E}"/>
    <dataValidation allowBlank="1" showInputMessage="1" showErrorMessage="1" prompt="Enter Today’s Date in cell at right" sqref="L3" xr:uid="{66C96835-E163-474D-9CB1-822EF5CA5AC0}"/>
    <dataValidation allowBlank="1" showInputMessage="1" showErrorMessage="1" prompt="Enter Week Ending Date in this cell" sqref="M1" xr:uid="{917C3445-8685-4654-893B-EFD5D2CA7038}"/>
    <dataValidation allowBlank="1" showInputMessage="1" showErrorMessage="1" prompt="Enter Week Ending Date in cell at right" sqref="L1" xr:uid="{1B429529-DDBB-4046-A336-51AE8E57A58A}"/>
    <dataValidation allowBlank="1" showInputMessage="1" showErrorMessage="1" prompt="Enter Location in this cell" sqref="J3" xr:uid="{6573FEC1-E739-404A-B4F0-B6BA27F5BBEA}"/>
    <dataValidation allowBlank="1" showInputMessage="1" showErrorMessage="1" prompt="Enter Location in cell at right" sqref="I3" xr:uid="{8B2770F1-CB06-4F4E-BFE0-0CFB2F651D0C}"/>
    <dataValidation allowBlank="1" showInputMessage="1" showErrorMessage="1" prompt="Enter Salesperson name in this cell" sqref="J1" xr:uid="{1389F20E-345D-4FDF-B89F-449FE1AB3858}"/>
    <dataValidation allowBlank="1" showInputMessage="1" showErrorMessage="1" prompt="Enter Salesperson name in cell at right" sqref="I1" xr:uid="{EA0F7004-597B-473E-8234-4A2C3D69798A}"/>
    <dataValidation allowBlank="1" showInputMessage="1" showErrorMessage="1" prompt="Create a Weekly Sales Activity Report in this worksheet. Enter sales details in Activity table and Goal amount in row below the table. Variance is automatically calculated" sqref="A1" xr:uid="{CE0B028B-741B-4F4C-9B45-582EE766016E}"/>
  </dataValidations>
  <printOptions horizontalCentered="1"/>
  <pageMargins left="0.25" right="0.25" top="0.75" bottom="0.75" header="0.3" footer="0.3"/>
  <pageSetup scale="73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EA26B24-5617-4B1B-971E-0FB1EC27B7E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C16:M16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F91E3A98-9609-43BD-B7A0-BA767F1239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5888F6-428D-40B9-BC17-9CB2FB3E38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DFBA7A-E0E6-4FA0-A1DC-8B8075979C4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TM03107674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Monthly Sales Activity</vt:lpstr>
      <vt:lpstr>Weekly_Sales Activity</vt:lpstr>
      <vt:lpstr>'Monthly Sales Activity'!Print_Titles</vt:lpstr>
      <vt:lpstr>'Weekly_Sales Activity'!Print_Titles</vt:lpstr>
      <vt:lpstr>'Weekly_Sales Activity'!RowTitleRegion1..J3</vt:lpstr>
      <vt:lpstr>RowTitleRegion1..J3</vt:lpstr>
      <vt:lpstr>'Weekly_Sales Activity'!RowTitleRegion2..M3</vt:lpstr>
      <vt:lpstr>RowTitleRegion2..M3</vt:lpstr>
      <vt:lpstr>'Weekly_Sales Activity'!Title1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2022-02-14T06:30:43Z</dcterms:created>
  <dcterms:modified xsi:type="dcterms:W3CDTF">2026-06-17T17:42:02Z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